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 firstSheet="3" activeTab="10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3" i="7"/>
  <c r="L4" i="7"/>
  <c r="L5" i="7"/>
  <c r="L6" i="7"/>
  <c r="L7" i="7"/>
  <c r="L8" i="7"/>
  <c r="L9" i="7"/>
  <c r="L10" i="7"/>
  <c r="L2" i="7"/>
  <c r="K3" i="1"/>
  <c r="K4" i="1"/>
  <c r="K5" i="1"/>
  <c r="K6" i="1"/>
  <c r="K7" i="1"/>
  <c r="K8" i="1"/>
  <c r="K9" i="1"/>
  <c r="K10" i="1"/>
  <c r="K2" i="1"/>
  <c r="J2" i="1"/>
  <c r="J3" i="1"/>
  <c r="J4" i="1"/>
  <c r="J5" i="1"/>
  <c r="J6" i="1"/>
  <c r="J7" i="1"/>
  <c r="J8" i="1"/>
  <c r="J9" i="1"/>
  <c r="J10" i="1"/>
  <c r="J3" i="6" l="1"/>
  <c r="J4" i="6"/>
  <c r="J5" i="6"/>
  <c r="J6" i="6"/>
  <c r="J7" i="6"/>
  <c r="J8" i="6"/>
  <c r="J9" i="6"/>
  <c r="J10" i="6"/>
  <c r="J2" i="6"/>
  <c r="L3" i="3"/>
  <c r="L4" i="3"/>
  <c r="L5" i="3"/>
  <c r="L6" i="3"/>
  <c r="L7" i="3"/>
  <c r="L8" i="3"/>
  <c r="L9" i="3"/>
  <c r="L10" i="3"/>
  <c r="L2" i="3"/>
  <c r="J3" i="3"/>
  <c r="J4" i="3"/>
  <c r="J5" i="3"/>
  <c r="J6" i="3"/>
  <c r="J7" i="3"/>
  <c r="J8" i="3"/>
  <c r="J9" i="3"/>
  <c r="J10" i="3"/>
  <c r="J2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J2" i="8"/>
  <c r="J3" i="8"/>
  <c r="J4" i="8"/>
  <c r="J5" i="8"/>
  <c r="J6" i="8"/>
  <c r="J7" i="8"/>
  <c r="J8" i="8"/>
  <c r="J9" i="8"/>
  <c r="J10" i="8"/>
  <c r="K3" i="9"/>
  <c r="J3" i="9"/>
  <c r="K2" i="9"/>
  <c r="J2" i="9"/>
  <c r="K2" i="8"/>
  <c r="K5" i="8"/>
  <c r="K7" i="8"/>
  <c r="K9" i="8"/>
  <c r="K3" i="8"/>
  <c r="K4" i="8"/>
  <c r="K6" i="8"/>
  <c r="K10" i="8"/>
  <c r="K8" i="8"/>
  <c r="H11" i="1" l="1"/>
  <c r="H12" i="1"/>
</calcChain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<sst xmlns="http://schemas.openxmlformats.org/spreadsheetml/2006/main" count="583" uniqueCount="88">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</sst>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J4" sqref="J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MIN(I2:I10)</f>
        <v>40800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2">
        <f>MAX(G2:G10)</f>
        <v>65000</v>
      </c>
      <c r="K3" s="2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K2" sqref="K2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23.42578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IF(D2:D10&gt;30,"Old","Young")</f>
        <v>Young</v>
      </c>
      <c r="K2" t="e">
        <f ca="1">ifs(F2:F10="Salesman","Salesdep",F2:F10="HR","Fired")</f>
        <v>#NAME?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IF(D3:D11&gt;30,"Old","Young")</f>
        <v>Young</v>
      </c>
      <c r="K3" t="e">
        <f ca="1">ifs(F3:F11="Salesman","Sales dep",F3:F11="HR","Fired")</f>
        <v>#NAME?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e">
        <f t="shared" ref="K4:K10" ca="1" si="1">ifs(F4:F12="Salesman","Sales dep",F4:F12="HR","Fired")</f>
        <v>#NAME?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e">
        <f t="shared" ca="1" si="1"/>
        <v>#NAME?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e">
        <f t="shared" ca="1" si="1"/>
        <v>#NAME?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e">
        <f t="shared" ca="1" si="1"/>
        <v>#NAME?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e">
        <f t="shared" ca="1" si="1"/>
        <v>#NAME?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e">
        <f t="shared" ca="1" si="1"/>
        <v>#NAME?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e">
        <f t="shared" ca="1" si="1"/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J2" sqref="J2:J10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10"/>
  <sheetViews>
    <sheetView topLeftCell="B1" workbookViewId="0">
      <selection activeCell="K14" sqref="K14"/>
    </sheetView>
  </sheetViews>
  <sheetFormatPr defaultColWidth="14.5703125" defaultRowHeight="15" x14ac:dyDescent="0.25"/>
  <cols>
    <col min="4" max="4" width="8" customWidth="1"/>
    <col min="10" max="10" width="32.285156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3" t="s">
        <v>56</v>
      </c>
      <c r="J2" s="1" t="s">
        <v>39</v>
      </c>
      <c r="K2" t="str">
        <f>LEFT(B2:B10,3)</f>
        <v>Jim</v>
      </c>
      <c r="L2" t="str">
        <f>RIGHT(A2:A10,1)</f>
        <v>1</v>
      </c>
      <c r="M2" t="str">
        <f>RIGHT(H2:H10,4)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3" t="s">
        <v>57</v>
      </c>
      <c r="J3" s="1" t="s">
        <v>40</v>
      </c>
      <c r="K3" t="str">
        <f t="shared" ref="K3:K10" si="0">LEFT(B3:B11,3)</f>
        <v>Pam</v>
      </c>
      <c r="L3" t="str">
        <f t="shared" ref="L3:L10" si="1">RIGHT(A3:A11,1)</f>
        <v>2</v>
      </c>
      <c r="M3" t="str">
        <f t="shared" ref="M3:M10" si="2">RIGHT(H3:H11,4)</f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3" t="s">
        <v>58</v>
      </c>
      <c r="J4" s="1" t="s">
        <v>41</v>
      </c>
      <c r="K4" t="str">
        <f t="shared" si="0"/>
        <v>Dwi</v>
      </c>
      <c r="L4" t="str">
        <f t="shared" si="1"/>
        <v>3</v>
      </c>
      <c r="M4" t="str">
        <f t="shared" si="2"/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3" t="s">
        <v>59</v>
      </c>
      <c r="J5" s="1" t="s">
        <v>42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3" t="s">
        <v>60</v>
      </c>
      <c r="J6" s="1" t="s">
        <v>43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3" t="s">
        <v>61</v>
      </c>
      <c r="J7" s="1" t="s">
        <v>44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3" t="s">
        <v>61</v>
      </c>
      <c r="J8" s="1" t="s">
        <v>45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3" t="s">
        <v>62</v>
      </c>
      <c r="J9" s="1" t="s">
        <v>46</v>
      </c>
      <c r="K9" t="str">
        <f t="shared" si="0"/>
        <v>Sta</v>
      </c>
      <c r="L9" t="str">
        <f t="shared" si="1"/>
        <v>8</v>
      </c>
      <c r="M9" t="str">
        <f t="shared" si="2"/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3" t="s">
        <v>62</v>
      </c>
      <c r="J10" s="1" t="s">
        <v>47</v>
      </c>
      <c r="K10" t="str">
        <f t="shared" si="0"/>
        <v>Kev</v>
      </c>
      <c r="L10" t="str">
        <f t="shared" si="1"/>
        <v>9</v>
      </c>
      <c r="M10" t="str">
        <f t="shared" si="2"/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3"/>
  <sheetViews>
    <sheetView workbookViewId="0">
      <selection activeCell="L15" sqref="L15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TEXT(H2:H10,"dd/mm/yyyy")</f>
        <v>02/11/2001</v>
      </c>
      <c r="K2" s="3"/>
      <c r="L2" t="str">
        <f>RIGHT(J2:J10,4)</f>
        <v>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TEXT(H3:H11,"dd/mm/yyyy")</f>
        <v>03/10/1999</v>
      </c>
      <c r="K3" s="3"/>
      <c r="L3" t="str">
        <f t="shared" ref="L3:L10" si="1">RIGHT(J3:J11,4)</f>
        <v>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3"/>
      <c r="L4" t="str">
        <f t="shared" si="1"/>
        <v>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3"/>
      <c r="L5" t="str">
        <f t="shared" si="1"/>
        <v>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3"/>
      <c r="L6" t="str">
        <f t="shared" si="1"/>
        <v>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3"/>
      <c r="L7" t="str">
        <f t="shared" si="1"/>
        <v>1995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3"/>
      <c r="L8" t="str">
        <f t="shared" si="1"/>
        <v>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3"/>
      <c r="L9" t="str">
        <f t="shared" si="1"/>
        <v>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3"/>
      <c r="L10" t="str">
        <f t="shared" si="1"/>
        <v>2003</v>
      </c>
    </row>
    <row r="12" spans="1:12" x14ac:dyDescent="0.3">
      <c r="H12" s="1"/>
    </row>
    <row r="13" spans="1:12" x14ac:dyDescent="0.3">
      <c r="H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J2" sqref="J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3" t="s">
        <v>2</v>
      </c>
      <c r="C2" s="3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3">
      <c r="A3">
        <v>1002</v>
      </c>
      <c r="B3" s="3" t="s">
        <v>4</v>
      </c>
      <c r="C3" s="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3">
      <c r="A4">
        <v>1003</v>
      </c>
      <c r="B4" s="3" t="s">
        <v>6</v>
      </c>
      <c r="C4" s="3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">
      <c r="A5">
        <v>1004</v>
      </c>
      <c r="B5" s="3" t="s">
        <v>13</v>
      </c>
      <c r="C5" s="3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">
      <c r="A6">
        <v>1005</v>
      </c>
      <c r="B6" s="3" t="s">
        <v>14</v>
      </c>
      <c r="C6" s="3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">
      <c r="A7">
        <v>1006</v>
      </c>
      <c r="B7" s="3" t="s">
        <v>8</v>
      </c>
      <c r="C7" s="3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">
      <c r="A8">
        <v>1007</v>
      </c>
      <c r="B8" s="3" t="s">
        <v>33</v>
      </c>
      <c r="C8" s="3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">
      <c r="A9">
        <v>1008</v>
      </c>
      <c r="B9" s="3" t="s">
        <v>16</v>
      </c>
      <c r="C9" s="3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">
      <c r="A10">
        <v>1009</v>
      </c>
      <c r="B10" s="3" t="s">
        <v>10</v>
      </c>
      <c r="C10" s="3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20"/>
  <sheetViews>
    <sheetView workbookViewId="0">
      <selection activeCell="J16" sqref="J16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7" max="7" width="13.7109375" style="2"/>
    <col min="10" max="10" width="14.42578125" bestFit="1" customWidth="1"/>
    <col min="11" max="11" width="15.28515625" bestFit="1" customWidth="1"/>
    <col min="12" max="12" width="17.2851562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 t="str">
        <f>SUBSTITUTE(H2:H10,"/","-",1)</f>
        <v>11-2/2001</v>
      </c>
      <c r="K2" t="str">
        <f>SUBSTITUTE(H2:H10,"/","-",2)</f>
        <v>11/2-2001</v>
      </c>
      <c r="L2" t="str">
        <f>SUBSTITUTE(H2:H10,"/","-")</f>
        <v>11-2-2001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 t="str">
        <f t="shared" ref="J3:J10" si="0">SUBSTITUTE(H3:H11,"/","-",1)</f>
        <v>10-3/1999</v>
      </c>
      <c r="K3" t="str">
        <f t="shared" ref="K3:K10" si="1">SUBSTITUTE(H3:H11,"/","-",2)</f>
        <v>10/3-1999</v>
      </c>
      <c r="L3" t="str">
        <f t="shared" ref="L3:L10" si="2">SUBSTITUTE(H3:H11,"/","-")</f>
        <v>10-3-1999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7-4-2000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 t="str">
        <f t="shared" si="0"/>
        <v>1-5/2000</v>
      </c>
      <c r="K5" t="str">
        <f t="shared" si="1"/>
        <v>1/5-2000</v>
      </c>
      <c r="L5" t="str">
        <f t="shared" si="2"/>
        <v>1-5-2000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 t="str">
        <f t="shared" si="0"/>
        <v>5-6/2001</v>
      </c>
      <c r="K6" t="str">
        <f t="shared" si="1"/>
        <v>5/6-2001</v>
      </c>
      <c r="L6" t="str">
        <f t="shared" si="2"/>
        <v>5-6-2001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5-6-2001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11-8-2003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6-9-2002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8-10-2003</v>
      </c>
    </row>
    <row r="12" spans="1:12" x14ac:dyDescent="0.3">
      <c r="H12" s="3"/>
      <c r="I12" s="3"/>
    </row>
    <row r="13" spans="1:12" x14ac:dyDescent="0.3">
      <c r="H13" s="3"/>
      <c r="I13" s="3"/>
    </row>
    <row r="14" spans="1:12" x14ac:dyDescent="0.3">
      <c r="H14" s="3"/>
      <c r="I14" s="3"/>
    </row>
    <row r="15" spans="1:12" x14ac:dyDescent="0.3">
      <c r="H15" s="3"/>
      <c r="I15" s="3"/>
    </row>
    <row r="16" spans="1:12" x14ac:dyDescent="0.3">
      <c r="H16" s="3"/>
      <c r="I16" s="3"/>
    </row>
    <row r="17" spans="8:9" x14ac:dyDescent="0.3">
      <c r="H17" s="3"/>
      <c r="I17" s="3"/>
    </row>
    <row r="18" spans="8:9" x14ac:dyDescent="0.3">
      <c r="H18" s="3"/>
      <c r="I18" s="3"/>
    </row>
    <row r="19" spans="8:9" x14ac:dyDescent="0.3">
      <c r="H19" s="3"/>
      <c r="I19" s="3"/>
    </row>
    <row r="20" spans="8:9" x14ac:dyDescent="0.3">
      <c r="H20" s="3"/>
      <c r="I20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L3" sqref="L3"/>
    </sheetView>
  </sheetViews>
  <sheetFormatPr defaultColWidth="13" defaultRowHeight="15" x14ac:dyDescent="0.25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topLeftCell="B1"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2"/>
  <sheetViews>
    <sheetView workbookViewId="0">
      <selection activeCell="J12" sqref="J12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1" width="22" bestFit="1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CONCATENATE(B2,C2,"@gmail.com")</f>
        <v>JimHalpert@gmail.com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CONCATENATE(B3,C3,"@gmail.com")</f>
        <v>PamBeasley@gmail.com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DwightSchrute@gmail.com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AngelaMartin@gmail.com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TobyFlenderson@gmail.com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MichaelScott@gmail.com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MeredithPalmer@gmail.com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StanleyHudson@gmail.com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KevinMalone@gmail.com</v>
      </c>
    </row>
    <row r="11" spans="1:11" x14ac:dyDescent="0.3">
      <c r="H11" t="str">
        <f t="shared" ref="H11:H12" si="2">CONCATENATE(B11," ",C11)</f>
        <v xml:space="preserve"> </v>
      </c>
    </row>
    <row r="12" spans="1:11" x14ac:dyDescent="0.3">
      <c r="H12" t="str">
        <f t="shared" si="2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tabSelected="1" workbookViewId="0">
      <selection activeCell="K6" sqref="K6"/>
    </sheetView>
  </sheetViews>
  <sheetFormatPr defaultRowHeight="15" x14ac:dyDescent="0.25"/>
  <cols>
    <col min="8" max="8" width="14.42578125" customWidth="1"/>
    <col min="9" max="9" width="13.28515625" customWidth="1"/>
    <col min="10" max="10" width="9.42578125" customWidth="1"/>
    <col min="11" max="11" width="14.7109375" bestFit="1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>
        <f>DAYS360(H2,I2)</f>
        <v>5158</v>
      </c>
      <c r="K2">
        <f>NETWORKDAYS(H2,I2)</f>
        <v>3737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>
        <f t="shared" ref="J3:J10" si="0">DAYS360(H3,I3)</f>
        <v>5970</v>
      </c>
      <c r="K3">
        <f t="shared" ref="K3:K10" si="1">NETWORKDAYS(H3,I3)</f>
        <v>4328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>
        <f t="shared" si="0"/>
        <v>6242</v>
      </c>
      <c r="K4">
        <f t="shared" si="1"/>
        <v>4524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>
        <f t="shared" si="0"/>
        <v>5351</v>
      </c>
      <c r="K5">
        <f t="shared" si="1"/>
        <v>3879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 t="e">
        <f t="shared" si="0"/>
        <v>#VALUE!</v>
      </c>
      <c r="K6" t="e">
        <f t="shared" si="1"/>
        <v>#VALUE!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>
        <f t="shared" si="0"/>
        <v>4474</v>
      </c>
      <c r="K7">
        <f t="shared" si="1"/>
        <v>3244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>
        <f t="shared" si="0"/>
        <v>3688</v>
      </c>
      <c r="K8">
        <f t="shared" si="1"/>
        <v>2675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 t="e">
        <f t="shared" si="0"/>
        <v>#VALUE!</v>
      </c>
      <c r="K9" t="e">
        <f t="shared" si="1"/>
        <v>#VALUE!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 t="e">
        <f t="shared" si="0"/>
        <v>#VALUE!</v>
      </c>
      <c r="K10" t="e">
        <f t="shared" si="1"/>
        <v>#VALUE!</v>
      </c>
    </row>
  </sheetData>
  <pageMargins left="0.7" right="0.7" top="0.75" bottom="0.75" header="0.3" footer="0.3"/>
  <ignoredErrors>
    <ignoredError sqref="J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DELL</cp:lastModifiedBy>
  <dcterms:created xsi:type="dcterms:W3CDTF">2021-12-16T14:18:34Z</dcterms:created>
  <dcterms:modified xsi:type="dcterms:W3CDTF">2023-02-19T18:09:09Z</dcterms:modified>
</cp:coreProperties>
</file>